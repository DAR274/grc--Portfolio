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etails" sheetId="1" r:id="rId5"/>
    <sheet state="visible" name="Dashboard" sheetId="2" r:id="rId6"/>
    <sheet state="visible" name="Vendor Inventory" sheetId="3" r:id="rId7"/>
    <sheet state="visible" name="Vendor Assessment" sheetId="4" r:id="rId8"/>
    <sheet state="visible" name="Vendor risk treatment plan" sheetId="5" r:id="rId9"/>
    <sheet state="visible" name="Vendor risk report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<sst xmlns="http://schemas.openxmlformats.org/spreadsheetml/2006/main" count="283" uniqueCount="140">
  <si>
    <t>Project name</t>
  </si>
  <si>
    <t>Third party /Vendor Risk Management</t>
  </si>
  <si>
    <t xml:space="preserve">Scenario </t>
  </si>
  <si>
    <t>A company uses multiple third party vendors(Payroll,CRM,Cloud).The objective is to assess the vendor risks and ensure compliance with ISO 27001 and SOC2.</t>
  </si>
  <si>
    <t>THIRD PARTY/VENDOR RISK MANAGEMENT DASHBOARD</t>
  </si>
  <si>
    <t>KPI METRICS</t>
  </si>
  <si>
    <t>Metric</t>
  </si>
  <si>
    <t>Value</t>
  </si>
  <si>
    <t>Total vendors</t>
  </si>
  <si>
    <t>High risk vendors</t>
  </si>
  <si>
    <t>Medium risk vendors</t>
  </si>
  <si>
    <t>Low risk vendors</t>
  </si>
  <si>
    <t>Risk Distribution Table</t>
  </si>
  <si>
    <t>Risk Level</t>
  </si>
  <si>
    <t>Count</t>
  </si>
  <si>
    <t>High</t>
  </si>
  <si>
    <t>Medium</t>
  </si>
  <si>
    <t>Low</t>
  </si>
  <si>
    <t>Vendor Criticality Analysis</t>
  </si>
  <si>
    <t>Criticality</t>
  </si>
  <si>
    <t>Top High-Risk Vendors Table</t>
  </si>
  <si>
    <t>Vendor name</t>
  </si>
  <si>
    <t>risk score</t>
  </si>
  <si>
    <t>COUNTA of Risk Level</t>
  </si>
  <si>
    <t>ChatSupport AI</t>
  </si>
  <si>
    <t>ITSupportX</t>
  </si>
  <si>
    <t>Grand Total</t>
  </si>
  <si>
    <t>Vendor ID</t>
  </si>
  <si>
    <t>Vendor Name</t>
  </si>
  <si>
    <t>Service Provided</t>
  </si>
  <si>
    <t>Data Access</t>
  </si>
  <si>
    <t>V1</t>
  </si>
  <si>
    <t>Payroll Pro</t>
  </si>
  <si>
    <t>Payroll processing</t>
  </si>
  <si>
    <t>Employee PII</t>
  </si>
  <si>
    <t>V2</t>
  </si>
  <si>
    <t>CloudHost AWS</t>
  </si>
  <si>
    <t>Cloud hosting</t>
  </si>
  <si>
    <t>All data</t>
  </si>
  <si>
    <t>V3</t>
  </si>
  <si>
    <t>CRM Plus</t>
  </si>
  <si>
    <t>CRM Tool</t>
  </si>
  <si>
    <t>Customer data</t>
  </si>
  <si>
    <t>V4</t>
  </si>
  <si>
    <t>EmailSecure</t>
  </si>
  <si>
    <t>Email security</t>
  </si>
  <si>
    <t>Email data</t>
  </si>
  <si>
    <t>V5</t>
  </si>
  <si>
    <t>IT Support</t>
  </si>
  <si>
    <t>system access</t>
  </si>
  <si>
    <t>V6</t>
  </si>
  <si>
    <t>AnalyticsHub</t>
  </si>
  <si>
    <t>data analytics</t>
  </si>
  <si>
    <t>customer insights</t>
  </si>
  <si>
    <t>V7</t>
  </si>
  <si>
    <t xml:space="preserve">HRTool </t>
  </si>
  <si>
    <t>HRMS</t>
  </si>
  <si>
    <t>Employee data</t>
  </si>
  <si>
    <t>V8</t>
  </si>
  <si>
    <t>PaymentGatewayX</t>
  </si>
  <si>
    <t>Payment processing</t>
  </si>
  <si>
    <t>financial data</t>
  </si>
  <si>
    <t>V9</t>
  </si>
  <si>
    <t>customer support bot</t>
  </si>
  <si>
    <t>customer queries</t>
  </si>
  <si>
    <t>V10</t>
  </si>
  <si>
    <t>BackupSafe</t>
  </si>
  <si>
    <t>data backup</t>
  </si>
  <si>
    <t>backup data</t>
  </si>
  <si>
    <t>ISO 27001 Certified</t>
  </si>
  <si>
    <t>Data encryption</t>
  </si>
  <si>
    <t>MFA Enabled</t>
  </si>
  <si>
    <t>Access control</t>
  </si>
  <si>
    <t>Incident response plan</t>
  </si>
  <si>
    <t>Data backup</t>
  </si>
  <si>
    <t>Compliance policy</t>
  </si>
  <si>
    <t>PayrollPro</t>
  </si>
  <si>
    <t>Yes</t>
  </si>
  <si>
    <t>No</t>
  </si>
  <si>
    <t>CRMPlus</t>
  </si>
  <si>
    <t>Scoring logic</t>
  </si>
  <si>
    <t>yes= 1</t>
  </si>
  <si>
    <t>What Interviewer Will Ask You</t>
  </si>
  <si>
    <t>no = 1</t>
  </si>
  <si>
    <t>👉 Question: “How did you assess vendor risk?”</t>
  </si>
  <si>
    <t>Total risk score = sum of all columns(max = 7)</t>
  </si>
  <si>
    <t>👉 Your answer:</t>
  </si>
  <si>
    <t>“I created a vendor assessment questionnaire covering security controls like encryption, MFA, and incident response. Based on responses, I calculated a risk score and classified vendors into high, medium, and low risk.”</t>
  </si>
  <si>
    <t>Risk level logic</t>
  </si>
  <si>
    <t>Score</t>
  </si>
  <si>
    <t>Risk level</t>
  </si>
  <si>
    <t>0-3</t>
  </si>
  <si>
    <t>High risk</t>
  </si>
  <si>
    <t>Medium risk</t>
  </si>
  <si>
    <t>Low risk</t>
  </si>
  <si>
    <t>Key risk</t>
  </si>
  <si>
    <t>Treatment action</t>
  </si>
  <si>
    <t>Owner</t>
  </si>
  <si>
    <t>Timeline</t>
  </si>
  <si>
    <t>Status</t>
  </si>
  <si>
    <t>No incident response,weak compliance</t>
  </si>
  <si>
    <t>Conduct full security audit and enforce security policy compliance</t>
  </si>
  <si>
    <t>GRC Team</t>
  </si>
  <si>
    <t>30 days</t>
  </si>
  <si>
    <t>Planned</t>
  </si>
  <si>
    <t>No encryption,no MFA</t>
  </si>
  <si>
    <t>Require vendor to implement encryption and MFA or discontinue service</t>
  </si>
  <si>
    <t>Security team</t>
  </si>
  <si>
    <t>15 days</t>
  </si>
  <si>
    <t>No incident response plan</t>
  </si>
  <si>
    <t>Request incident response documentation and periodic review</t>
  </si>
  <si>
    <t>Vendor management team</t>
  </si>
  <si>
    <t>20 days</t>
  </si>
  <si>
    <t>In Progress</t>
  </si>
  <si>
    <t>weak compliance policy</t>
  </si>
  <si>
    <t>conduct vendor assessment and enforce compliance requirements</t>
  </si>
  <si>
    <t>compliance team</t>
  </si>
  <si>
    <t>25 days</t>
  </si>
  <si>
    <t>no backup mechanism</t>
  </si>
  <si>
    <t>Recommend enabling backup and redundancy</t>
  </si>
  <si>
    <t>IT Team</t>
  </si>
  <si>
    <t>no MFA</t>
  </si>
  <si>
    <t>Enforce MFA for all payroll access</t>
  </si>
  <si>
    <t>security team</t>
  </si>
  <si>
    <t>High dependency on cloud</t>
  </si>
  <si>
    <t>establish shared responsibility model and monitoring</t>
  </si>
  <si>
    <t>cloud security team</t>
  </si>
  <si>
    <t>Ongoing</t>
  </si>
  <si>
    <t>Objective</t>
  </si>
  <si>
    <t>To assess and manage third-party vendor risks</t>
  </si>
  <si>
    <t>Scope</t>
  </si>
  <si>
    <t>Vendors handling sensitive company data</t>
  </si>
  <si>
    <t>Key findings</t>
  </si>
  <si>
    <t>2 High - risk vendors identified</t>
  </si>
  <si>
    <t>3 Medium-risk vendors</t>
  </si>
  <si>
    <t>Security gaps in MFA,encryption</t>
  </si>
  <si>
    <t>Recommendations</t>
  </si>
  <si>
    <t>Conduct vendor audits</t>
  </si>
  <si>
    <t>enforce compliance requirements</t>
  </si>
  <si>
    <t>continuous monitoring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</si>
</sst>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222222"/>
      <name val="&quot;Google Sans&quot;"/>
    </font>
    <font>
      <color theme="1"/>
      <name val="Arial"/>
      <scheme val="minor"/>
    </font>
    <font>
      <b/>
      <sz val="14.0"/>
      <color theme="1"/>
      <name val="Arial"/>
      <scheme val="minor"/>
    </font>
    <font/>
    <font>
      <b/>
      <sz val="11.0"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2" fontId="1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3" fontId="4" numFmtId="0" xfId="0" applyAlignment="1" applyFill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/>
    </xf>
    <xf borderId="3" fillId="0" fontId="5" numFmtId="0" xfId="0" applyBorder="1" applyFont="1"/>
    <xf borderId="1" fillId="0" fontId="6" numFmtId="0" xfId="0" applyAlignment="1" applyBorder="1" applyFont="1">
      <alignment horizontal="center" readingOrder="0"/>
    </xf>
    <xf borderId="0" fillId="5" fontId="3" numFmtId="0" xfId="0" applyFill="1" applyFont="1"/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6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2" fillId="8" fontId="6" numFmtId="0" xfId="0" applyAlignment="1" applyBorder="1" applyFill="1" applyFont="1">
      <alignment horizontal="center" readingOrder="0"/>
    </xf>
    <xf borderId="2" fillId="4" fontId="6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6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7" fontId="3" numFmtId="0" xfId="0" applyAlignment="1" applyBorder="1" applyFont="1">
      <alignment readingOrder="0"/>
    </xf>
    <xf borderId="0" fillId="8" fontId="6" numFmtId="0" xfId="0" applyAlignment="1" applyFont="1">
      <alignment horizontal="center" readingOrder="0"/>
    </xf>
    <xf borderId="1" fillId="9" fontId="7" numFmtId="0" xfId="0" applyAlignment="1" applyBorder="1" applyFill="1" applyFont="1">
      <alignment horizontal="center"/>
    </xf>
    <xf borderId="1" fillId="9" fontId="3" numFmtId="0" xfId="0" applyAlignment="1" applyBorder="1" applyFon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2" fillId="0" fontId="1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2" fillId="10" fontId="1" numFmtId="0" xfId="0" applyAlignment="1" applyBorder="1" applyFill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1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11" fontId="1" numFmtId="0" xfId="0" applyAlignment="1" applyFill="1" applyFont="1">
      <alignment horizontal="center" readingOrder="0"/>
    </xf>
    <xf borderId="0" fillId="0" fontId="1" numFmtId="0" xfId="0" applyFont="1"/>
    <xf borderId="1" fillId="11" fontId="1" numFmtId="0" xfId="0" applyAlignment="1" applyBorder="1" applyFont="1">
      <alignment horizontal="center" readingOrder="0"/>
    </xf>
    <xf borderId="1" fillId="11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horizontal="left" readingOrder="0" shrinkToFit="0" vertical="center" wrapText="0"/>
    </xf>
    <xf borderId="1" fillId="11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4" pivot="0" name="Vendor Inven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Vendor Assessment-style">
      <tableStyleElement dxfId="3" type="firstRowStripe"/>
      <tableStyleElement dxfId="2" type="secondRowStripe"/>
    </tableStyle>
    <tableStyle count="4" pivot="0" name="Vendor risk treatment pl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Vendor Risk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Dashboard!$X$10:$X$11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explosion val="25"/>
            <c:spPr>
              <a:solidFill>
                <a:srgbClr val="FBBC0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Dashboard!$W$12:$W$14</c:f>
            </c:strRef>
          </c:cat>
          <c:val>
            <c:numRef>
              <c:f>Dashboard!$X$12:$X$14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Vendor Criticality Distribution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Dashboard!$X$16:$X$17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Dashboard!$W$18:$W$20</c:f>
            </c:strRef>
          </c:cat>
          <c:val>
            <c:numRef>
              <c:f>Dashboard!$X$18:$X$20</c:f>
              <c:numCache/>
            </c:numRef>
          </c:val>
        </c:ser>
        <c:overlap val="100"/>
        <c:axId val="439415197"/>
        <c:axId val="1477958390"/>
      </c:barChart>
      <c:catAx>
        <c:axId val="439415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Criticality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77958390"/>
      </c:catAx>
      <c:valAx>
        <c:axId val="14779583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415197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Vendor vs Risk Score Table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'Vendor Assessment'!$B$2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'Vendor Assessment'!$A$3:$A$12</c:f>
            </c:strRef>
          </c:cat>
          <c:val>
            <c:numRef>
              <c:f>'Vendor Assessment'!$B$3:$B$12</c:f>
              <c:numCache/>
            </c:numRef>
          </c:val>
        </c:ser>
        <c:ser>
          <c:idx val="1"/>
          <c:order val="1"/>
          <c:tx>
            <c:strRef>
              <c:f>'Vendor Assessment'!$C$2</c:f>
            </c:strRef>
          </c:tx>
          <c:cat>
            <c:strRef>
              <c:f>'Vendor Assessment'!$A$3:$A$12</c:f>
            </c:strRef>
          </c:cat>
          <c:val>
            <c:numRef>
              <c:f>'Vendor Assessment'!$C$3:$C$12</c:f>
              <c:numCache/>
            </c:numRef>
          </c:val>
        </c:ser>
        <c:ser>
          <c:idx val="2"/>
          <c:order val="2"/>
          <c:tx>
            <c:strRef>
              <c:f>'Vendor Assessment'!$D$2</c:f>
            </c:strRef>
          </c:tx>
          <c:cat>
            <c:strRef>
              <c:f>'Vendor Assessment'!$A$3:$A$12</c:f>
            </c:strRef>
          </c:cat>
          <c:val>
            <c:numRef>
              <c:f>'Vendor Assessment'!$D$3:$D$12</c:f>
              <c:numCache/>
            </c:numRef>
          </c:val>
        </c:ser>
        <c:ser>
          <c:idx val="3"/>
          <c:order val="3"/>
          <c:tx>
            <c:strRef>
              <c:f>'Vendor Assessment'!$E$2</c:f>
            </c:strRef>
          </c:tx>
          <c:cat>
            <c:strRef>
              <c:f>'Vendor Assessment'!$A$3:$A$12</c:f>
            </c:strRef>
          </c:cat>
          <c:val>
            <c:numRef>
              <c:f>'Vendor Assessment'!$E$3:$E$12</c:f>
              <c:numCache/>
            </c:numRef>
          </c:val>
        </c:ser>
        <c:ser>
          <c:idx val="4"/>
          <c:order val="4"/>
          <c:tx>
            <c:strRef>
              <c:f>'Vendor Assessment'!$F$2</c:f>
            </c:strRef>
          </c:tx>
          <c:cat>
            <c:strRef>
              <c:f>'Vendor Assessment'!$A$3:$A$12</c:f>
            </c:strRef>
          </c:cat>
          <c:val>
            <c:numRef>
              <c:f>'Vendor Assessment'!$F$3:$F$12</c:f>
              <c:numCache/>
            </c:numRef>
          </c:val>
        </c:ser>
        <c:ser>
          <c:idx val="5"/>
          <c:order val="5"/>
          <c:tx>
            <c:strRef>
              <c:f>'Vendor Assessment'!$G$2</c:f>
            </c:strRef>
          </c:tx>
          <c:cat>
            <c:strRef>
              <c:f>'Vendor Assessment'!$A$3:$A$12</c:f>
            </c:strRef>
          </c:cat>
          <c:val>
            <c:numRef>
              <c:f>'Vendor Assessment'!$G$3:$G$12</c:f>
              <c:numCache/>
            </c:numRef>
          </c:val>
        </c:ser>
        <c:ser>
          <c:idx val="6"/>
          <c:order val="6"/>
          <c:tx>
            <c:strRef>
              <c:f>'Vendor Assessment'!$H$2</c:f>
            </c:strRef>
          </c:tx>
          <c:cat>
            <c:strRef>
              <c:f>'Vendor Assessment'!$A$3:$A$12</c:f>
            </c:strRef>
          </c:cat>
          <c:val>
            <c:numRef>
              <c:f>'Vendor Assessment'!$H$3:$H$12</c:f>
              <c:numCache/>
            </c:numRef>
          </c:val>
        </c:ser>
        <c:ser>
          <c:idx val="7"/>
          <c:order val="7"/>
          <c:tx>
            <c:strRef>
              <c:f>'Vendor Assessment'!$I$2</c:f>
            </c:strRef>
          </c:tx>
          <c:cat>
            <c:strRef>
              <c:f>'Vendor Assessment'!$A$3:$A$12</c:f>
            </c:strRef>
          </c:cat>
          <c:val>
            <c:numRef>
              <c:f>'Vendor Assessment'!$I$3:$I$12</c:f>
              <c:numCache/>
            </c:numRef>
          </c:val>
        </c:ser>
        <c:ser>
          <c:idx val="8"/>
          <c:order val="8"/>
          <c:tx>
            <c:strRef>
              <c:f>'Vendor Assessment'!$J$2</c:f>
            </c:strRef>
          </c:tx>
          <c:cat>
            <c:strRef>
              <c:f>'Vendor Assessment'!$A$3:$A$12</c:f>
            </c:strRef>
          </c:cat>
          <c:val>
            <c:numRef>
              <c:f>'Vendor Assessment'!$J$3:$J$12</c:f>
              <c:numCache/>
            </c:numRef>
          </c:val>
        </c:ser>
        <c:axId val="2012856098"/>
        <c:axId val="1657639416"/>
      </c:bar3DChart>
      <c:catAx>
        <c:axId val="20128560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657639416"/>
      </c:catAx>
      <c:valAx>
        <c:axId val="16576394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28560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'Vendor Assessment'!$B$2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'Vendor Assessment'!$A$3:$A$12</c:f>
            </c:strRef>
          </c:cat>
          <c:val>
            <c:numRef>
              <c:f>'Vendor Assessment'!$B$3:$B$12</c:f>
              <c:numCache/>
            </c:numRef>
          </c:val>
        </c:ser>
        <c:ser>
          <c:idx val="1"/>
          <c:order val="1"/>
          <c:tx>
            <c:strRef>
              <c:f>'Vendor Assessment'!$C$2</c:f>
            </c:strRef>
          </c:tx>
          <c:cat>
            <c:strRef>
              <c:f>'Vendor Assessment'!$A$3:$A$12</c:f>
            </c:strRef>
          </c:cat>
          <c:val>
            <c:numRef>
              <c:f>'Vendor Assessment'!$C$3:$C$12</c:f>
              <c:numCache/>
            </c:numRef>
          </c:val>
        </c:ser>
        <c:ser>
          <c:idx val="2"/>
          <c:order val="2"/>
          <c:tx>
            <c:strRef>
              <c:f>'Vendor Assessment'!$D$2</c:f>
            </c:strRef>
          </c:tx>
          <c:cat>
            <c:strRef>
              <c:f>'Vendor Assessment'!$A$3:$A$12</c:f>
            </c:strRef>
          </c:cat>
          <c:val>
            <c:numRef>
              <c:f>'Vendor Assessment'!$D$3:$D$12</c:f>
              <c:numCache/>
            </c:numRef>
          </c:val>
        </c:ser>
        <c:ser>
          <c:idx val="3"/>
          <c:order val="3"/>
          <c:tx>
            <c:strRef>
              <c:f>'Vendor Assessment'!$E$2</c:f>
            </c:strRef>
          </c:tx>
          <c:cat>
            <c:strRef>
              <c:f>'Vendor Assessment'!$A$3:$A$12</c:f>
            </c:strRef>
          </c:cat>
          <c:val>
            <c:numRef>
              <c:f>'Vendor Assessment'!$E$3:$E$12</c:f>
              <c:numCache/>
            </c:numRef>
          </c:val>
        </c:ser>
        <c:ser>
          <c:idx val="4"/>
          <c:order val="4"/>
          <c:tx>
            <c:strRef>
              <c:f>'Vendor Assessment'!$F$2</c:f>
            </c:strRef>
          </c:tx>
          <c:cat>
            <c:strRef>
              <c:f>'Vendor Assessment'!$A$3:$A$12</c:f>
            </c:strRef>
          </c:cat>
          <c:val>
            <c:numRef>
              <c:f>'Vendor Assessment'!$F$3:$F$12</c:f>
              <c:numCache/>
            </c:numRef>
          </c:val>
        </c:ser>
        <c:ser>
          <c:idx val="5"/>
          <c:order val="5"/>
          <c:tx>
            <c:strRef>
              <c:f>'Vendor Assessment'!$G$2</c:f>
            </c:strRef>
          </c:tx>
          <c:cat>
            <c:strRef>
              <c:f>'Vendor Assessment'!$A$3:$A$12</c:f>
            </c:strRef>
          </c:cat>
          <c:val>
            <c:numRef>
              <c:f>'Vendor Assessment'!$G$3:$G$12</c:f>
              <c:numCache/>
            </c:numRef>
          </c:val>
        </c:ser>
        <c:ser>
          <c:idx val="6"/>
          <c:order val="6"/>
          <c:tx>
            <c:strRef>
              <c:f>'Vendor Assessment'!$H$2</c:f>
            </c:strRef>
          </c:tx>
          <c:cat>
            <c:strRef>
              <c:f>'Vendor Assessment'!$A$3:$A$12</c:f>
            </c:strRef>
          </c:cat>
          <c:val>
            <c:numRef>
              <c:f>'Vendor Assessment'!$H$3:$H$12</c:f>
              <c:numCache/>
            </c:numRef>
          </c:val>
        </c:ser>
        <c:ser>
          <c:idx val="7"/>
          <c:order val="7"/>
          <c:tx>
            <c:strRef>
              <c:f>'Vendor Assessment'!$I$2</c:f>
            </c:strRef>
          </c:tx>
          <c:cat>
            <c:strRef>
              <c:f>'Vendor Assessment'!$A$3:$A$12</c:f>
            </c:strRef>
          </c:cat>
          <c:val>
            <c:numRef>
              <c:f>'Vendor Assessment'!$I$3:$I$12</c:f>
              <c:numCache/>
            </c:numRef>
          </c:val>
        </c:ser>
        <c:ser>
          <c:idx val="8"/>
          <c:order val="8"/>
          <c:tx>
            <c:strRef>
              <c:f>'Vendor Assessment'!$J$2</c:f>
            </c:strRef>
          </c:tx>
          <c:cat>
            <c:strRef>
              <c:f>'Vendor Assessment'!$A$3:$A$12</c:f>
            </c:strRef>
          </c:cat>
          <c:val>
            <c:numRef>
              <c:f>'Vendor Assessment'!$J$3:$J$12</c:f>
              <c:numCache/>
            </c:numRef>
          </c:val>
        </c:ser>
        <c:axId val="736964508"/>
        <c:axId val="880884805"/>
      </c:barChart>
      <c:catAx>
        <c:axId val="7369645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0884805"/>
      </c:catAx>
      <c:valAx>
        <c:axId val="8808848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696450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1</xdr:row>
      <xdr:rowOff>180975</xdr:rowOff>
    </xdr:from>
    <xdr:ext cx="4743450" cy="1247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8</xdr:row>
      <xdr:rowOff>9525</xdr:rowOff>
    </xdr:from>
    <xdr:ext cx="4276725" cy="2200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1219200</xdr:colOff>
      <xdr:row>7</xdr:row>
      <xdr:rowOff>200025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J12" sheet="Vendor Assessment"/>
  </cacheSource>
  <cacheFields>
    <cacheField name="Vendor name" numFmtId="0">
      <sharedItems>
        <s v="PayrollPro"/>
        <s v="CloudHost AWS"/>
        <s v="CRMPlus"/>
        <s v="EmailSecure"/>
        <s v="ITSupportX"/>
        <s v="AnalyticsHub"/>
        <s v="HRTool "/>
        <s v="PaymentGatewayX"/>
        <s v="ChatSupport AI"/>
        <s v="BackupSafe"/>
      </sharedItems>
    </cacheField>
    <cacheField name="ISO 27001 Certified" numFmtId="0">
      <sharedItems>
        <s v="Yes"/>
        <s v="No"/>
      </sharedItems>
    </cacheField>
    <cacheField name="Data encryption" numFmtId="0">
      <sharedItems>
        <s v="Yes"/>
        <s v="No"/>
      </sharedItems>
    </cacheField>
    <cacheField name="MFA Enabled" numFmtId="0">
      <sharedItems>
        <s v="No"/>
        <s v="Yes"/>
      </sharedItems>
    </cacheField>
    <cacheField name="Access control" numFmtId="0">
      <sharedItems>
        <s v="Yes"/>
      </sharedItems>
    </cacheField>
    <cacheField name="Incident response plan" numFmtId="0">
      <sharedItems>
        <s v="Yes"/>
        <s v="No"/>
      </sharedItems>
    </cacheField>
    <cacheField name="Data backup" numFmtId="0">
      <sharedItems>
        <s v="Yes"/>
        <s v="No"/>
      </sharedItems>
    </cacheField>
    <cacheField name="Compliance policy" numFmtId="0">
      <sharedItems>
        <s v="Yes"/>
        <s v="No"/>
      </sharedItems>
    </cacheField>
    <cacheField name="risk score" numFmtId="0">
      <sharedItems containsSemiMixedTypes="0" containsString="0" containsNumber="1" containsInteger="1">
        <n v="6.0"/>
        <n v="7.0"/>
        <n v="4.0"/>
        <n v="3.0"/>
        <n v="1.0"/>
      </sharedItems>
    </cacheField>
    <cacheField name="Risk Level" numFmtId="0">
      <sharedItems>
        <s v="Low"/>
        <s v="Medium"/>
        <s v="High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A22:D25" firstHeaderRow="0" firstDataRow="3" firstDataCol="0"/>
  <pivotFields>
    <pivotField name="Vendor name" axis="axisRow" compact="0" outline="0" multipleItemSelectionAllowed="1" showAll="0" sortType="ascending" defaultSubtotal="0">
      <items>
        <item x="5"/>
        <item x="9"/>
        <item x="8"/>
        <item x="1"/>
        <item x="2"/>
        <item x="3"/>
        <item x="6"/>
        <item x="4"/>
        <item x="7"/>
        <item x="0"/>
      </items>
    </pivotField>
    <pivotField name="ISO 27001 Certified" compact="0" outline="0" multipleItemSelectionAllowed="1" showAll="0">
      <items>
        <item x="0"/>
        <item x="1"/>
        <item t="default"/>
      </items>
    </pivotField>
    <pivotField name="Data encryption" compact="0" outline="0" multipleItemSelectionAllowed="1" showAll="0">
      <items>
        <item x="0"/>
        <item x="1"/>
        <item t="default"/>
      </items>
    </pivotField>
    <pivotField name="MFA Enabled" compact="0" outline="0" multipleItemSelectionAllowed="1" showAll="0">
      <items>
        <item x="0"/>
        <item x="1"/>
        <item t="default"/>
      </items>
    </pivotField>
    <pivotField name="Access control" compact="0" outline="0" multipleItemSelectionAllowed="1" showAll="0">
      <items>
        <item x="0"/>
        <item t="default"/>
      </items>
    </pivotField>
    <pivotField name="Incident response plan" compact="0" outline="0" multipleItemSelectionAllowed="1" showAll="0">
      <items>
        <item x="0"/>
        <item x="1"/>
        <item t="default"/>
      </items>
    </pivotField>
    <pivotField name="Data backup" compact="0" outline="0" multipleItemSelectionAllowed="1" showAll="0">
      <items>
        <item x="0"/>
        <item x="1"/>
        <item t="default"/>
      </items>
    </pivotField>
    <pivotField name="Compliance policy" compact="0" outline="0" multipleItemSelectionAllowed="1" showAll="0">
      <items>
        <item x="0"/>
        <item x="1"/>
        <item t="default"/>
      </items>
    </pivotField>
    <pivotField name="risk score" axis="axisRow" compact="0" outline="0" multipleItemSelectionAllowed="1" showAll="0" sortType="ascending" defaultSubtotal="0">
      <items>
        <item x="4"/>
        <item x="3"/>
        <item x="2"/>
        <item x="0"/>
        <item x="1"/>
      </items>
    </pivotField>
    <pivotField name="Risk Level" axis="axisRow" dataField="1" compact="0" outline="0" multipleItemSelectionAllowed="1" showAll="0" sortType="ascending">
      <items>
        <item x="2"/>
        <item h="1" x="0"/>
        <item h="1" x="1"/>
        <item t="default"/>
      </items>
    </pivotField>
  </pivotFields>
  <rowFields>
    <field x="0"/>
    <field x="8"/>
    <field x="9"/>
  </rowFields>
  <dataFields>
    <dataField name="COUNTA of Risk Level" fld="9" subtotal="count" baseField="0"/>
  </dataFields>
</pivotTableDefinition>
</file>

<file path=xl/tables/table1.xml><?xml version="1.0" encoding="utf-8"?>
<table xmlns="http://schemas.openxmlformats.org/spreadsheetml/2006/main" ref="A2:F12" displayName="Table1" name="Table1" id="1">
  <tableColumns count="6">
    <tableColumn name="Vendor ID" id="1"/>
    <tableColumn name="Vendor Name" id="2"/>
    <tableColumn name="Service Provided" id="3"/>
    <tableColumn name="Data Access" id="4"/>
    <tableColumn name="Criticality" id="5"/>
    <tableColumn name="Risk Level" id="6"/>
  </tableColumns>
  <tableStyleInfo name="Vendor Inventory-style" showColumnStripes="0" showFirstColumn="1" showLastColumn="1" showRowStripes="1"/>
</table>
</file>

<file path=xl/tables/table2.xml><?xml version="1.0" encoding="utf-8"?>
<table xmlns="http://schemas.openxmlformats.org/spreadsheetml/2006/main" headerRowCount="0" ref="A6:J12" displayName="Table_1" name="Table_1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Vendor Assessment-style" showColumnStripes="0" showFirstColumn="1" showLastColumn="1" showRowStripes="1"/>
</table>
</file>

<file path=xl/tables/table3.xml><?xml version="1.0" encoding="utf-8"?>
<table xmlns="http://schemas.openxmlformats.org/spreadsheetml/2006/main" ref="A2:G9" displayName="Table2" name="Table2" id="3">
  <tableColumns count="7">
    <tableColumn name="Vendor name" id="1"/>
    <tableColumn name="Risk level" id="2"/>
    <tableColumn name="Key risk" id="3"/>
    <tableColumn name="Treatment action" id="4"/>
    <tableColumn name="Owner" id="5"/>
    <tableColumn name="Timeline" id="6"/>
    <tableColumn name="Status" id="7"/>
  </tableColumns>
  <tableStyleInfo name="Vendor risk treatment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65.5"/>
  </cols>
  <sheetData>
    <row r="1">
      <c r="A1" s="1" t="s">
        <v>0</v>
      </c>
      <c r="B1" s="2" t="s">
        <v>1</v>
      </c>
    </row>
    <row r="3">
      <c r="A3" s="3" t="s">
        <v>2</v>
      </c>
      <c r="B3" s="4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15.38"/>
    <col customWidth="1" min="4" max="4" width="18.38"/>
  </cols>
  <sheetData>
    <row r="1">
      <c r="A1" s="6" t="s">
        <v>4</v>
      </c>
    </row>
    <row r="3">
      <c r="A3" s="7" t="s">
        <v>5</v>
      </c>
      <c r="B3" s="8"/>
    </row>
    <row r="4">
      <c r="A4" s="9" t="s">
        <v>6</v>
      </c>
      <c r="B4" s="9" t="s">
        <v>7</v>
      </c>
      <c r="J4" s="10"/>
    </row>
    <row r="5">
      <c r="A5" s="11" t="s">
        <v>8</v>
      </c>
      <c r="B5" s="12">
        <f>counta('Vendor Assessment'!J:J)-1</f>
        <v>10</v>
      </c>
    </row>
    <row r="6">
      <c r="A6" s="13" t="s">
        <v>9</v>
      </c>
      <c r="B6" s="12">
        <f>countif('Vendor Assessment'!J:J,"High")</f>
        <v>2</v>
      </c>
    </row>
    <row r="7">
      <c r="A7" s="14" t="s">
        <v>10</v>
      </c>
      <c r="B7" s="12">
        <f>countif('Vendor Assessment'!J:J,"Medium")</f>
        <v>2</v>
      </c>
      <c r="J7" s="10"/>
    </row>
    <row r="8">
      <c r="A8" s="15" t="s">
        <v>11</v>
      </c>
      <c r="B8" s="12">
        <f>countif('Vendor Assessment'!J:J,"Low")</f>
        <v>6</v>
      </c>
    </row>
    <row r="10">
      <c r="W10" s="16" t="s">
        <v>12</v>
      </c>
      <c r="X10" s="8"/>
    </row>
    <row r="11">
      <c r="W11" s="11" t="s">
        <v>13</v>
      </c>
      <c r="X11" s="11" t="s">
        <v>14</v>
      </c>
    </row>
    <row r="12">
      <c r="W12" s="13" t="s">
        <v>15</v>
      </c>
      <c r="X12" s="12">
        <f>countif('Vendor Assessment'!J:J,"High")</f>
        <v>2</v>
      </c>
    </row>
    <row r="13">
      <c r="W13" s="14" t="s">
        <v>16</v>
      </c>
      <c r="X13" s="12">
        <f>countif('Vendor Assessment'!J:J,"Medium")</f>
        <v>2</v>
      </c>
    </row>
    <row r="14">
      <c r="W14" s="15" t="s">
        <v>17</v>
      </c>
      <c r="X14" s="12">
        <f>countif('Vendor Assessment'!J:J,"Low")</f>
        <v>6</v>
      </c>
    </row>
    <row r="16">
      <c r="W16" s="17" t="s">
        <v>18</v>
      </c>
      <c r="X16" s="8"/>
    </row>
    <row r="17">
      <c r="W17" s="18" t="s">
        <v>19</v>
      </c>
      <c r="X17" s="18" t="s">
        <v>14</v>
      </c>
    </row>
    <row r="18">
      <c r="W18" s="19" t="s">
        <v>15</v>
      </c>
      <c r="X18" s="20">
        <f>countif('Vendor Inventory'!E:E,"High")</f>
        <v>6</v>
      </c>
    </row>
    <row r="19">
      <c r="W19" s="21" t="s">
        <v>16</v>
      </c>
      <c r="X19" s="20">
        <f>countif('Vendor Inventory'!E:E,"Medium")</f>
        <v>3</v>
      </c>
    </row>
    <row r="20">
      <c r="W20" s="22" t="s">
        <v>17</v>
      </c>
      <c r="X20" s="20">
        <f>countif('Vendor Inventory'!E:E,"Low")</f>
        <v>1</v>
      </c>
    </row>
    <row r="21">
      <c r="A21" s="23" t="s">
        <v>20</v>
      </c>
    </row>
    <row r="22"/>
    <row r="23"/>
    <row r="24"/>
    <row r="25"/>
  </sheetData>
  <mergeCells count="5">
    <mergeCell ref="A1:G2"/>
    <mergeCell ref="A3:B3"/>
    <mergeCell ref="W10:X10"/>
    <mergeCell ref="W16:X16"/>
    <mergeCell ref="A21:D21"/>
  </mergeCell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7.5"/>
    <col customWidth="1" min="3" max="3" width="18.25"/>
    <col customWidth="1" min="4" max="4" width="21.5"/>
    <col customWidth="1" min="5" max="5" width="12.75"/>
    <col customWidth="1" min="6" max="6" width="13.13"/>
  </cols>
  <sheetData>
    <row r="2" ht="22.5" customHeight="1">
      <c r="A2" s="26" t="s">
        <v>27</v>
      </c>
      <c r="B2" s="26" t="s">
        <v>28</v>
      </c>
      <c r="C2" s="26" t="s">
        <v>29</v>
      </c>
      <c r="D2" s="26" t="s">
        <v>30</v>
      </c>
      <c r="E2" s="26" t="s">
        <v>19</v>
      </c>
      <c r="F2" s="26" t="s">
        <v>13</v>
      </c>
      <c r="G2" s="27"/>
      <c r="H2" s="27"/>
      <c r="I2" s="27"/>
      <c r="J2" s="27"/>
      <c r="K2" s="27"/>
      <c r="L2" s="27"/>
    </row>
    <row r="3" ht="22.5" customHeight="1">
      <c r="A3" s="28" t="s">
        <v>31</v>
      </c>
      <c r="B3" s="29" t="s">
        <v>32</v>
      </c>
      <c r="C3" s="29" t="s">
        <v>33</v>
      </c>
      <c r="D3" s="29" t="s">
        <v>34</v>
      </c>
      <c r="E3" s="29" t="s">
        <v>15</v>
      </c>
      <c r="F3" s="29" t="s">
        <v>15</v>
      </c>
      <c r="G3" s="30"/>
      <c r="H3" s="30"/>
      <c r="I3" s="30"/>
      <c r="J3" s="30"/>
      <c r="K3" s="30"/>
      <c r="L3" s="30"/>
    </row>
    <row r="4" ht="22.5" customHeight="1">
      <c r="A4" s="28" t="s">
        <v>35</v>
      </c>
      <c r="B4" s="29" t="s">
        <v>36</v>
      </c>
      <c r="C4" s="29" t="s">
        <v>37</v>
      </c>
      <c r="D4" s="29" t="s">
        <v>38</v>
      </c>
      <c r="E4" s="29" t="s">
        <v>15</v>
      </c>
      <c r="F4" s="29" t="s">
        <v>15</v>
      </c>
      <c r="G4" s="30"/>
      <c r="H4" s="30"/>
      <c r="I4" s="30"/>
      <c r="J4" s="30"/>
      <c r="K4" s="30"/>
      <c r="L4" s="30"/>
    </row>
    <row r="5" ht="22.5" customHeight="1">
      <c r="A5" s="28" t="s">
        <v>39</v>
      </c>
      <c r="B5" s="29" t="s">
        <v>40</v>
      </c>
      <c r="C5" s="29" t="s">
        <v>41</v>
      </c>
      <c r="D5" s="29" t="s">
        <v>42</v>
      </c>
      <c r="E5" s="29" t="s">
        <v>15</v>
      </c>
      <c r="F5" s="29" t="s">
        <v>15</v>
      </c>
      <c r="G5" s="30"/>
      <c r="H5" s="30"/>
      <c r="I5" s="30"/>
      <c r="J5" s="30"/>
      <c r="K5" s="30"/>
      <c r="L5" s="30"/>
    </row>
    <row r="6" ht="22.5" customHeight="1">
      <c r="A6" s="28" t="s">
        <v>43</v>
      </c>
      <c r="B6" s="29" t="s">
        <v>44</v>
      </c>
      <c r="C6" s="29" t="s">
        <v>45</v>
      </c>
      <c r="D6" s="29" t="s">
        <v>46</v>
      </c>
      <c r="E6" s="29" t="s">
        <v>16</v>
      </c>
      <c r="F6" s="29" t="s">
        <v>16</v>
      </c>
      <c r="G6" s="30"/>
      <c r="H6" s="30"/>
      <c r="I6" s="30"/>
      <c r="J6" s="30"/>
      <c r="K6" s="30"/>
      <c r="L6" s="31"/>
    </row>
    <row r="7" ht="22.5" customHeight="1">
      <c r="A7" s="28" t="s">
        <v>47</v>
      </c>
      <c r="B7" s="29" t="s">
        <v>25</v>
      </c>
      <c r="C7" s="29" t="s">
        <v>48</v>
      </c>
      <c r="D7" s="29" t="s">
        <v>49</v>
      </c>
      <c r="E7" s="29" t="s">
        <v>16</v>
      </c>
      <c r="F7" s="29" t="s">
        <v>16</v>
      </c>
      <c r="G7" s="30"/>
      <c r="H7" s="30"/>
      <c r="I7" s="30"/>
      <c r="J7" s="30"/>
      <c r="K7" s="30"/>
      <c r="L7" s="30"/>
    </row>
    <row r="8" ht="22.5" customHeight="1">
      <c r="A8" s="28" t="s">
        <v>50</v>
      </c>
      <c r="B8" s="29" t="s">
        <v>51</v>
      </c>
      <c r="C8" s="29" t="s">
        <v>52</v>
      </c>
      <c r="D8" s="29" t="s">
        <v>53</v>
      </c>
      <c r="E8" s="29" t="s">
        <v>16</v>
      </c>
      <c r="F8" s="29" t="s">
        <v>16</v>
      </c>
      <c r="G8" s="30"/>
      <c r="H8" s="30"/>
      <c r="I8" s="30"/>
      <c r="J8" s="30"/>
      <c r="K8" s="30"/>
      <c r="L8" s="31"/>
    </row>
    <row r="9" ht="22.5" customHeight="1">
      <c r="A9" s="32" t="s">
        <v>54</v>
      </c>
      <c r="B9" s="29" t="s">
        <v>55</v>
      </c>
      <c r="C9" s="29" t="s">
        <v>56</v>
      </c>
      <c r="D9" s="29" t="s">
        <v>57</v>
      </c>
      <c r="E9" s="29" t="s">
        <v>15</v>
      </c>
      <c r="F9" s="29" t="s">
        <v>15</v>
      </c>
      <c r="G9" s="30"/>
      <c r="H9" s="30"/>
      <c r="I9" s="30"/>
      <c r="J9" s="30"/>
      <c r="K9" s="30"/>
      <c r="L9" s="30"/>
    </row>
    <row r="10" ht="22.5" customHeight="1">
      <c r="A10" s="32" t="s">
        <v>58</v>
      </c>
      <c r="B10" s="29" t="s">
        <v>59</v>
      </c>
      <c r="C10" s="29" t="s">
        <v>60</v>
      </c>
      <c r="D10" s="29" t="s">
        <v>61</v>
      </c>
      <c r="E10" s="29" t="s">
        <v>15</v>
      </c>
      <c r="F10" s="29" t="s">
        <v>15</v>
      </c>
      <c r="G10" s="30"/>
      <c r="H10" s="30"/>
      <c r="I10" s="30"/>
      <c r="J10" s="30"/>
      <c r="K10" s="30"/>
      <c r="L10" s="30"/>
    </row>
    <row r="11" ht="22.5" customHeight="1">
      <c r="A11" s="32" t="s">
        <v>62</v>
      </c>
      <c r="B11" s="29" t="s">
        <v>24</v>
      </c>
      <c r="C11" s="29" t="s">
        <v>63</v>
      </c>
      <c r="D11" s="29" t="s">
        <v>64</v>
      </c>
      <c r="E11" s="33" t="s">
        <v>17</v>
      </c>
      <c r="F11" s="29" t="s">
        <v>17</v>
      </c>
      <c r="G11" s="30"/>
      <c r="H11" s="30"/>
      <c r="I11" s="30"/>
      <c r="J11" s="30"/>
      <c r="K11" s="30"/>
      <c r="L11" s="30"/>
    </row>
    <row r="12" ht="22.5" customHeight="1">
      <c r="A12" s="34" t="s">
        <v>65</v>
      </c>
      <c r="B12" s="35" t="s">
        <v>66</v>
      </c>
      <c r="C12" s="35" t="s">
        <v>67</v>
      </c>
      <c r="D12" s="35" t="s">
        <v>68</v>
      </c>
      <c r="E12" s="36" t="s">
        <v>15</v>
      </c>
      <c r="F12" s="35" t="s">
        <v>15</v>
      </c>
      <c r="G12" s="30"/>
      <c r="H12" s="30"/>
      <c r="I12" s="30"/>
      <c r="J12" s="30"/>
      <c r="K12" s="30"/>
      <c r="L12" s="30"/>
    </row>
    <row r="13">
      <c r="A13" s="27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>
      <c r="A14" s="27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>
      <c r="A15" s="27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>
      <c r="A16" s="2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>
      <c r="A17" s="27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>
      <c r="A18" s="27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>
      <c r="A19" s="27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>
      <c r="A20" s="27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>
      <c r="A21" s="27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>
      <c r="A22" s="27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</row>
  </sheetData>
  <conditionalFormatting sqref="A2:A9 B2:I2">
    <cfRule type="notContainsBlanks" dxfId="5" priority="1">
      <formula>LEN(TRIM(A2))&gt;0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4.88"/>
    <col customWidth="1" min="6" max="6" width="37.25"/>
  </cols>
  <sheetData>
    <row r="1">
      <c r="A1" s="37"/>
      <c r="B1" s="37"/>
      <c r="C1" s="37"/>
      <c r="D1" s="37"/>
      <c r="E1" s="37"/>
      <c r="F1" s="37"/>
      <c r="G1" s="37"/>
      <c r="H1" s="37"/>
      <c r="I1" s="37"/>
      <c r="J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9" t="s">
        <v>21</v>
      </c>
      <c r="B2" s="39" t="s">
        <v>69</v>
      </c>
      <c r="C2" s="39" t="s">
        <v>70</v>
      </c>
      <c r="D2" s="39" t="s">
        <v>71</v>
      </c>
      <c r="E2" s="39" t="s">
        <v>72</v>
      </c>
      <c r="F2" s="39" t="s">
        <v>73</v>
      </c>
      <c r="G2" s="39" t="s">
        <v>74</v>
      </c>
      <c r="H2" s="39" t="s">
        <v>75</v>
      </c>
      <c r="I2" s="39" t="s">
        <v>22</v>
      </c>
      <c r="J2" s="39" t="s">
        <v>13</v>
      </c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9" t="s">
        <v>76</v>
      </c>
      <c r="B3" s="40" t="s">
        <v>77</v>
      </c>
      <c r="C3" s="40" t="s">
        <v>77</v>
      </c>
      <c r="D3" s="40" t="s">
        <v>78</v>
      </c>
      <c r="E3" s="40" t="s">
        <v>77</v>
      </c>
      <c r="F3" s="40" t="s">
        <v>77</v>
      </c>
      <c r="G3" s="40" t="s">
        <v>77</v>
      </c>
      <c r="H3" s="40" t="s">
        <v>77</v>
      </c>
      <c r="I3" s="40">
        <v>6.0</v>
      </c>
      <c r="J3" s="40" t="s">
        <v>17</v>
      </c>
    </row>
    <row r="4">
      <c r="A4" s="39" t="s">
        <v>36</v>
      </c>
      <c r="B4" s="40" t="s">
        <v>77</v>
      </c>
      <c r="C4" s="40" t="s">
        <v>77</v>
      </c>
      <c r="D4" s="40" t="s">
        <v>77</v>
      </c>
      <c r="E4" s="40" t="s">
        <v>77</v>
      </c>
      <c r="F4" s="40" t="s">
        <v>77</v>
      </c>
      <c r="G4" s="40" t="s">
        <v>77</v>
      </c>
      <c r="H4" s="40" t="s">
        <v>77</v>
      </c>
      <c r="I4" s="40">
        <v>7.0</v>
      </c>
      <c r="J4" s="40" t="s">
        <v>17</v>
      </c>
    </row>
    <row r="5">
      <c r="A5" s="39" t="s">
        <v>79</v>
      </c>
      <c r="B5" s="40" t="s">
        <v>78</v>
      </c>
      <c r="C5" s="40" t="s">
        <v>77</v>
      </c>
      <c r="D5" s="40" t="s">
        <v>78</v>
      </c>
      <c r="E5" s="40" t="s">
        <v>77</v>
      </c>
      <c r="F5" s="40" t="s">
        <v>78</v>
      </c>
      <c r="G5" s="40" t="s">
        <v>77</v>
      </c>
      <c r="H5" s="40" t="s">
        <v>77</v>
      </c>
      <c r="I5" s="40">
        <v>4.0</v>
      </c>
      <c r="J5" s="40" t="s">
        <v>16</v>
      </c>
    </row>
    <row r="6">
      <c r="A6" s="39" t="s">
        <v>44</v>
      </c>
      <c r="B6" s="40" t="s">
        <v>77</v>
      </c>
      <c r="C6" s="40" t="s">
        <v>77</v>
      </c>
      <c r="D6" s="40" t="s">
        <v>77</v>
      </c>
      <c r="E6" s="40" t="s">
        <v>77</v>
      </c>
      <c r="F6" s="40" t="s">
        <v>77</v>
      </c>
      <c r="G6" s="40" t="s">
        <v>78</v>
      </c>
      <c r="H6" s="40" t="s">
        <v>77</v>
      </c>
      <c r="I6" s="40">
        <v>6.0</v>
      </c>
      <c r="J6" s="40" t="s">
        <v>17</v>
      </c>
    </row>
    <row r="7">
      <c r="A7" s="39" t="s">
        <v>25</v>
      </c>
      <c r="B7" s="40" t="s">
        <v>78</v>
      </c>
      <c r="C7" s="40" t="s">
        <v>77</v>
      </c>
      <c r="D7" s="40" t="s">
        <v>78</v>
      </c>
      <c r="E7" s="40" t="s">
        <v>77</v>
      </c>
      <c r="F7" s="40" t="s">
        <v>78</v>
      </c>
      <c r="G7" s="40" t="s">
        <v>77</v>
      </c>
      <c r="H7" s="40" t="s">
        <v>78</v>
      </c>
      <c r="I7" s="40">
        <v>3.0</v>
      </c>
      <c r="J7" s="40" t="s">
        <v>15</v>
      </c>
    </row>
    <row r="8">
      <c r="A8" s="39" t="s">
        <v>51</v>
      </c>
      <c r="B8" s="40" t="s">
        <v>78</v>
      </c>
      <c r="C8" s="40" t="s">
        <v>77</v>
      </c>
      <c r="D8" s="40" t="s">
        <v>78</v>
      </c>
      <c r="E8" s="40" t="s">
        <v>77</v>
      </c>
      <c r="F8" s="40" t="s">
        <v>77</v>
      </c>
      <c r="G8" s="40" t="s">
        <v>77</v>
      </c>
      <c r="H8" s="40" t="s">
        <v>78</v>
      </c>
      <c r="I8" s="40">
        <v>4.0</v>
      </c>
      <c r="J8" s="40" t="s">
        <v>16</v>
      </c>
    </row>
    <row r="9">
      <c r="A9" s="39" t="s">
        <v>55</v>
      </c>
      <c r="B9" s="40" t="s">
        <v>77</v>
      </c>
      <c r="C9" s="40" t="s">
        <v>77</v>
      </c>
      <c r="D9" s="40" t="s">
        <v>77</v>
      </c>
      <c r="E9" s="40" t="s">
        <v>77</v>
      </c>
      <c r="F9" s="40" t="s">
        <v>77</v>
      </c>
      <c r="G9" s="40" t="s">
        <v>77</v>
      </c>
      <c r="H9" s="40" t="s">
        <v>77</v>
      </c>
      <c r="I9" s="40">
        <v>7.0</v>
      </c>
      <c r="J9" s="40" t="s">
        <v>17</v>
      </c>
    </row>
    <row r="10">
      <c r="A10" s="39" t="s">
        <v>59</v>
      </c>
      <c r="B10" s="40" t="s">
        <v>77</v>
      </c>
      <c r="C10" s="40" t="s">
        <v>77</v>
      </c>
      <c r="D10" s="40" t="s">
        <v>77</v>
      </c>
      <c r="E10" s="40" t="s">
        <v>77</v>
      </c>
      <c r="F10" s="40" t="s">
        <v>77</v>
      </c>
      <c r="G10" s="40" t="s">
        <v>77</v>
      </c>
      <c r="H10" s="40" t="s">
        <v>77</v>
      </c>
      <c r="I10" s="40">
        <v>7.0</v>
      </c>
      <c r="J10" s="40" t="s">
        <v>17</v>
      </c>
    </row>
    <row r="11">
      <c r="A11" s="39" t="s">
        <v>24</v>
      </c>
      <c r="B11" s="40" t="s">
        <v>78</v>
      </c>
      <c r="C11" s="40" t="s">
        <v>78</v>
      </c>
      <c r="D11" s="40" t="s">
        <v>78</v>
      </c>
      <c r="E11" s="40" t="s">
        <v>77</v>
      </c>
      <c r="F11" s="40" t="s">
        <v>78</v>
      </c>
      <c r="G11" s="40" t="s">
        <v>78</v>
      </c>
      <c r="H11" s="40" t="s">
        <v>78</v>
      </c>
      <c r="I11" s="40">
        <v>1.0</v>
      </c>
      <c r="J11" s="40" t="s">
        <v>15</v>
      </c>
    </row>
    <row r="12">
      <c r="A12" s="39" t="s">
        <v>66</v>
      </c>
      <c r="B12" s="40" t="s">
        <v>77</v>
      </c>
      <c r="C12" s="40" t="s">
        <v>77</v>
      </c>
      <c r="D12" s="40" t="s">
        <v>77</v>
      </c>
      <c r="E12" s="40" t="s">
        <v>77</v>
      </c>
      <c r="F12" s="40" t="s">
        <v>77</v>
      </c>
      <c r="G12" s="40" t="s">
        <v>77</v>
      </c>
      <c r="H12" s="40" t="s">
        <v>77</v>
      </c>
      <c r="I12" s="40">
        <v>7.0</v>
      </c>
      <c r="J12" s="40" t="s">
        <v>17</v>
      </c>
    </row>
    <row r="13">
      <c r="A13" s="27"/>
      <c r="B13" s="41"/>
      <c r="C13" s="41"/>
      <c r="D13" s="41"/>
      <c r="E13" s="41"/>
      <c r="F13" s="41"/>
    </row>
    <row r="14">
      <c r="A14" s="27"/>
      <c r="B14" s="41"/>
      <c r="C14" s="41"/>
      <c r="D14" s="41"/>
      <c r="E14" s="41"/>
      <c r="F14" s="41"/>
    </row>
    <row r="15">
      <c r="A15" s="38"/>
    </row>
    <row r="16">
      <c r="A16" s="38"/>
    </row>
    <row r="17">
      <c r="A17" s="42" t="s">
        <v>80</v>
      </c>
      <c r="B17" s="30" t="s">
        <v>81</v>
      </c>
      <c r="D17" s="30" t="s">
        <v>82</v>
      </c>
    </row>
    <row r="18">
      <c r="A18" s="38"/>
      <c r="B18" s="30" t="s">
        <v>83</v>
      </c>
      <c r="D18" s="30" t="s">
        <v>84</v>
      </c>
    </row>
    <row r="19">
      <c r="A19" s="42" t="s">
        <v>85</v>
      </c>
      <c r="D19" s="30" t="s">
        <v>86</v>
      </c>
    </row>
    <row r="20">
      <c r="A20" s="38"/>
      <c r="D20" s="30" t="s">
        <v>87</v>
      </c>
    </row>
    <row r="21">
      <c r="A21" s="18" t="s">
        <v>88</v>
      </c>
    </row>
    <row r="22">
      <c r="A22" s="11" t="s">
        <v>89</v>
      </c>
      <c r="B22" s="11" t="s">
        <v>90</v>
      </c>
    </row>
    <row r="23">
      <c r="A23" s="11" t="s">
        <v>91</v>
      </c>
      <c r="B23" s="43" t="s">
        <v>92</v>
      </c>
    </row>
    <row r="24">
      <c r="A24" s="44">
        <v>46117.0</v>
      </c>
      <c r="B24" s="43" t="s">
        <v>93</v>
      </c>
    </row>
    <row r="25">
      <c r="A25" s="44">
        <v>46180.0</v>
      </c>
      <c r="B25" s="43" t="s">
        <v>94</v>
      </c>
    </row>
    <row r="26">
      <c r="A26" s="38"/>
    </row>
    <row r="27">
      <c r="A27" s="38"/>
    </row>
    <row r="28">
      <c r="A28" s="38"/>
    </row>
    <row r="29">
      <c r="A29" s="38"/>
    </row>
    <row r="30">
      <c r="A30" s="38"/>
    </row>
    <row r="31">
      <c r="A31" s="38"/>
    </row>
    <row r="32">
      <c r="A32" s="38"/>
    </row>
    <row r="33">
      <c r="A33" s="38"/>
    </row>
    <row r="34">
      <c r="A34" s="38"/>
    </row>
    <row r="35">
      <c r="A35" s="38"/>
    </row>
    <row r="36">
      <c r="A36" s="38"/>
    </row>
    <row r="37">
      <c r="A37" s="38"/>
    </row>
    <row r="38">
      <c r="A38" s="38"/>
    </row>
    <row r="39">
      <c r="A39" s="38"/>
    </row>
    <row r="40">
      <c r="A40" s="38"/>
    </row>
    <row r="41">
      <c r="A41" s="38"/>
    </row>
    <row r="42">
      <c r="A42" s="38"/>
    </row>
    <row r="43">
      <c r="A43" s="38"/>
    </row>
    <row r="44">
      <c r="A44" s="38"/>
    </row>
    <row r="45">
      <c r="A45" s="38"/>
    </row>
    <row r="46">
      <c r="A46" s="38"/>
    </row>
    <row r="47">
      <c r="A47" s="38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  <row r="1000">
      <c r="A1000" s="38"/>
    </row>
    <row r="1001">
      <c r="A1001" s="38"/>
    </row>
  </sheetData>
  <dataValidations>
    <dataValidation type="list" allowBlank="1" showErrorMessage="1" sqref="H3:H12">
      <formula1>"Yes,No"</formula1>
    </dataValidation>
    <dataValidation type="list" allowBlank="1" showErrorMessage="1" sqref="J3:J12">
      <formula1>"Low,Medium,High"</formula1>
    </dataValidation>
    <dataValidation type="list" allowBlank="1" showErrorMessage="1" sqref="C3:C12">
      <formula1>"Yes,No"</formula1>
    </dataValidation>
    <dataValidation type="list" allowBlank="1" showErrorMessage="1" sqref="D3:D12">
      <formula1>"No,Yes"</formula1>
    </dataValidation>
    <dataValidation type="list" allowBlank="1" showErrorMessage="1" sqref="I3:I12">
      <formula1>"1,3,4,6,7"</formula1>
    </dataValidation>
    <dataValidation type="list" allowBlank="1" showErrorMessage="1" sqref="B3:B12 F3:G12">
      <formula1>"Yes,No"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3" max="3" width="31.25"/>
    <col customWidth="1" min="4" max="4" width="37.63"/>
    <col customWidth="1" min="5" max="5" width="22.0"/>
  </cols>
  <sheetData>
    <row r="2" ht="22.5" customHeight="1">
      <c r="A2" s="45" t="s">
        <v>21</v>
      </c>
      <c r="B2" s="45" t="s">
        <v>90</v>
      </c>
      <c r="C2" s="45" t="s">
        <v>95</v>
      </c>
      <c r="D2" s="45" t="s">
        <v>96</v>
      </c>
      <c r="E2" s="45" t="s">
        <v>97</v>
      </c>
      <c r="F2" s="45" t="s">
        <v>98</v>
      </c>
      <c r="G2" s="45" t="s">
        <v>99</v>
      </c>
    </row>
    <row r="3" ht="22.5" customHeight="1">
      <c r="A3" s="46" t="s">
        <v>25</v>
      </c>
      <c r="B3" s="47" t="s">
        <v>15</v>
      </c>
      <c r="C3" s="47" t="s">
        <v>100</v>
      </c>
      <c r="D3" s="47" t="s">
        <v>101</v>
      </c>
      <c r="E3" s="47" t="s">
        <v>102</v>
      </c>
      <c r="F3" s="47" t="s">
        <v>103</v>
      </c>
      <c r="G3" s="47" t="s">
        <v>104</v>
      </c>
    </row>
    <row r="4" ht="22.5" customHeight="1">
      <c r="A4" s="46" t="s">
        <v>24</v>
      </c>
      <c r="B4" s="47" t="s">
        <v>15</v>
      </c>
      <c r="C4" s="47" t="s">
        <v>105</v>
      </c>
      <c r="D4" s="47" t="s">
        <v>106</v>
      </c>
      <c r="E4" s="47" t="s">
        <v>107</v>
      </c>
      <c r="F4" s="47" t="s">
        <v>108</v>
      </c>
      <c r="G4" s="47" t="s">
        <v>104</v>
      </c>
    </row>
    <row r="5" ht="22.5" customHeight="1">
      <c r="A5" s="47" t="s">
        <v>79</v>
      </c>
      <c r="B5" s="47" t="s">
        <v>16</v>
      </c>
      <c r="C5" s="47" t="s">
        <v>109</v>
      </c>
      <c r="D5" s="47" t="s">
        <v>110</v>
      </c>
      <c r="E5" s="47" t="s">
        <v>111</v>
      </c>
      <c r="F5" s="47" t="s">
        <v>112</v>
      </c>
      <c r="G5" s="47" t="s">
        <v>113</v>
      </c>
    </row>
    <row r="6" ht="22.5" customHeight="1">
      <c r="A6" s="47" t="s">
        <v>51</v>
      </c>
      <c r="B6" s="47" t="s">
        <v>16</v>
      </c>
      <c r="C6" s="47" t="s">
        <v>114</v>
      </c>
      <c r="D6" s="47" t="s">
        <v>115</v>
      </c>
      <c r="E6" s="47" t="s">
        <v>116</v>
      </c>
      <c r="F6" s="47" t="s">
        <v>117</v>
      </c>
      <c r="G6" s="47" t="s">
        <v>104</v>
      </c>
    </row>
    <row r="7" ht="22.5" customHeight="1">
      <c r="A7" s="47" t="s">
        <v>44</v>
      </c>
      <c r="B7" s="47" t="s">
        <v>17</v>
      </c>
      <c r="C7" s="47" t="s">
        <v>118</v>
      </c>
      <c r="D7" s="47" t="s">
        <v>119</v>
      </c>
      <c r="E7" s="47" t="s">
        <v>120</v>
      </c>
      <c r="F7" s="47" t="s">
        <v>103</v>
      </c>
      <c r="G7" s="47" t="s">
        <v>104</v>
      </c>
    </row>
    <row r="8" ht="22.5" customHeight="1">
      <c r="A8" s="47" t="s">
        <v>76</v>
      </c>
      <c r="B8" s="47" t="s">
        <v>17</v>
      </c>
      <c r="C8" s="47" t="s">
        <v>121</v>
      </c>
      <c r="D8" s="47" t="s">
        <v>122</v>
      </c>
      <c r="E8" s="47" t="s">
        <v>123</v>
      </c>
      <c r="F8" s="47" t="s">
        <v>108</v>
      </c>
      <c r="G8" s="47" t="s">
        <v>113</v>
      </c>
    </row>
    <row r="9" ht="22.5" customHeight="1">
      <c r="A9" s="47" t="s">
        <v>36</v>
      </c>
      <c r="B9" s="47" t="s">
        <v>17</v>
      </c>
      <c r="C9" s="47" t="s">
        <v>124</v>
      </c>
      <c r="D9" s="47" t="s">
        <v>125</v>
      </c>
      <c r="E9" s="47" t="s">
        <v>126</v>
      </c>
      <c r="F9" s="47" t="s">
        <v>103</v>
      </c>
      <c r="G9" s="47" t="s">
        <v>127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36.25"/>
  </cols>
  <sheetData>
    <row r="1">
      <c r="A1" s="20" t="s">
        <v>128</v>
      </c>
      <c r="B1" s="20" t="s">
        <v>129</v>
      </c>
    </row>
    <row r="2">
      <c r="A2" s="20" t="s">
        <v>130</v>
      </c>
      <c r="B2" s="20" t="s">
        <v>131</v>
      </c>
    </row>
    <row r="3">
      <c r="A3" s="20" t="s">
        <v>132</v>
      </c>
      <c r="B3" s="20" t="s">
        <v>133</v>
      </c>
    </row>
    <row r="4">
      <c r="A4" s="48"/>
      <c r="B4" s="20" t="s">
        <v>134</v>
      </c>
    </row>
    <row r="5">
      <c r="A5" s="48"/>
      <c r="B5" s="20" t="s">
        <v>135</v>
      </c>
    </row>
    <row r="6">
      <c r="A6" s="20" t="s">
        <v>136</v>
      </c>
      <c r="B6" s="20" t="s">
        <v>137</v>
      </c>
    </row>
    <row r="7">
      <c r="A7" s="48"/>
      <c r="B7" s="20" t="s">
        <v>138</v>
      </c>
    </row>
    <row r="8">
      <c r="A8" s="48"/>
      <c r="B8" s="20" t="s">
        <v>139</v>
      </c>
    </row>
  </sheetData>
  <drawing r:id="rId1"/>
</worksheet>
</file>